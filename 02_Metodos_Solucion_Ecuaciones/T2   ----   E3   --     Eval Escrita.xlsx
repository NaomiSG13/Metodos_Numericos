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omi\OneDrive\Documents\"/>
    </mc:Choice>
  </mc:AlternateContent>
  <xr:revisionPtr revIDLastSave="0" documentId="13_ncr:1_{0720319A-C051-4406-B32D-9485015A4BC4}" xr6:coauthVersionLast="47" xr6:coauthVersionMax="47" xr10:uidLastSave="{00000000-0000-0000-0000-000000000000}"/>
  <bookViews>
    <workbookView xWindow="-120" yWindow="-120" windowWidth="29040" windowHeight="15840" xr2:uid="{DAD0DC0E-0F9E-4315-909F-A5CED35D46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 s="1"/>
  <c r="E20" i="1"/>
  <c r="C2" i="1"/>
  <c r="D20" i="1"/>
  <c r="E12" i="1"/>
  <c r="D12" i="1"/>
  <c r="D2" i="1"/>
  <c r="D7" i="1" l="1"/>
  <c r="E7" i="1" s="1"/>
  <c r="B8" i="1" s="1"/>
  <c r="F20" i="1"/>
  <c r="G20" i="1" s="1"/>
  <c r="E2" i="1"/>
  <c r="B3" i="1" s="1"/>
  <c r="D3" i="1" s="1"/>
  <c r="C3" i="1"/>
  <c r="E3" i="1" s="1"/>
  <c r="B4" i="1" s="1"/>
  <c r="D4" i="1" s="1"/>
  <c r="D8" i="1" l="1"/>
  <c r="C8" i="1"/>
  <c r="E8" i="1" s="1"/>
  <c r="H20" i="1"/>
  <c r="C21" i="1"/>
  <c r="E21" i="1" s="1"/>
  <c r="B21" i="1"/>
  <c r="C4" i="1"/>
  <c r="E4" i="1" s="1"/>
  <c r="B5" i="1" s="1"/>
  <c r="D5" i="1" s="1"/>
  <c r="D21" i="1" l="1"/>
  <c r="C5" i="1"/>
  <c r="E5" i="1" s="1"/>
  <c r="B6" i="1" s="1"/>
  <c r="D6" i="1" s="1"/>
  <c r="F21" i="1" l="1"/>
  <c r="G21" i="1" s="1"/>
  <c r="C6" i="1"/>
  <c r="E6" i="1" s="1"/>
  <c r="B22" i="1" l="1"/>
  <c r="C22" i="1"/>
  <c r="E22" i="1" s="1"/>
  <c r="H21" i="1"/>
  <c r="D22" i="1" l="1"/>
  <c r="F22" i="1"/>
  <c r="G22" i="1" l="1"/>
  <c r="C23" i="1" s="1"/>
  <c r="E23" i="1" s="1"/>
  <c r="I21" i="1"/>
  <c r="J21" i="1" s="1"/>
  <c r="H22" i="1"/>
  <c r="B23" i="1"/>
  <c r="D23" i="1" l="1"/>
  <c r="F23" i="1"/>
  <c r="G23" i="1" l="1"/>
  <c r="C24" i="1" s="1"/>
  <c r="E24" i="1" s="1"/>
  <c r="I22" i="1"/>
  <c r="J22" i="1" s="1"/>
  <c r="B24" i="1"/>
  <c r="H23" i="1"/>
  <c r="D24" i="1" l="1"/>
  <c r="F24" i="1"/>
  <c r="G24" i="1" l="1"/>
  <c r="C25" i="1" s="1"/>
  <c r="E25" i="1" s="1"/>
  <c r="I23" i="1"/>
  <c r="J23" i="1" s="1"/>
  <c r="H24" i="1"/>
  <c r="B25" i="1"/>
  <c r="D25" i="1" l="1"/>
  <c r="F25" i="1"/>
  <c r="G25" i="1" l="1"/>
  <c r="C26" i="1" s="1"/>
  <c r="E26" i="1" s="1"/>
  <c r="I24" i="1"/>
  <c r="J24" i="1" s="1"/>
  <c r="H25" i="1"/>
  <c r="B26" i="1"/>
  <c r="D26" i="1" l="1"/>
  <c r="F26" i="1" l="1"/>
  <c r="G26" i="1" l="1"/>
  <c r="I25" i="1"/>
  <c r="J25" i="1" s="1"/>
  <c r="C27" i="1" l="1"/>
  <c r="E27" i="1" s="1"/>
  <c r="B27" i="1"/>
  <c r="H26" i="1"/>
  <c r="D27" i="1" l="1"/>
  <c r="F27" i="1"/>
  <c r="I26" i="1" l="1"/>
  <c r="J26" i="1" s="1"/>
  <c r="G27" i="1"/>
  <c r="C28" i="1" s="1"/>
  <c r="E28" i="1" s="1"/>
  <c r="H27" i="1"/>
  <c r="B28" i="1"/>
  <c r="D28" i="1" s="1"/>
  <c r="F28" i="1" l="1"/>
  <c r="I28" i="1" l="1"/>
  <c r="J28" i="1" s="1"/>
  <c r="I27" i="1"/>
  <c r="J27" i="1" s="1"/>
  <c r="G28" i="1"/>
  <c r="H28" i="1" s="1"/>
</calcChain>
</file>

<file path=xl/sharedStrings.xml><?xml version="1.0" encoding="utf-8"?>
<sst xmlns="http://schemas.openxmlformats.org/spreadsheetml/2006/main" count="39" uniqueCount="29">
  <si>
    <t>f(x)=2cos(x)-x^2</t>
  </si>
  <si>
    <t>a=-2</t>
  </si>
  <si>
    <t>b=2</t>
  </si>
  <si>
    <t>item</t>
  </si>
  <si>
    <t>x0</t>
  </si>
  <si>
    <t>f(x0)</t>
  </si>
  <si>
    <t>f´(x0)</t>
  </si>
  <si>
    <t>xn+1</t>
  </si>
  <si>
    <t>Método de newton</t>
  </si>
  <si>
    <t>Iter</t>
  </si>
  <si>
    <t>f(a)</t>
  </si>
  <si>
    <t>f(b)</t>
  </si>
  <si>
    <t>xr (Raíz)</t>
  </si>
  <si>
    <t>f(xr)</t>
  </si>
  <si>
    <t>Método de falsa posición</t>
  </si>
  <si>
    <t>f'(x) = -2 sen(x) - 2x</t>
  </si>
  <si>
    <t>1er derivada</t>
  </si>
  <si>
    <t xml:space="preserve">a </t>
  </si>
  <si>
    <t xml:space="preserve">b </t>
  </si>
  <si>
    <t>No  hay raiz, ya que no se puede aplicar regla falsa poque f(a)*f(b)&gt;0</t>
  </si>
  <si>
    <t xml:space="preserve">Por lo tanto necesitamos cambiar los intervalos </t>
  </si>
  <si>
    <t>a=0</t>
  </si>
  <si>
    <t>c</t>
  </si>
  <si>
    <t>f(c)</t>
  </si>
  <si>
    <t>f(a)*f(c)</t>
  </si>
  <si>
    <t>error abs</t>
  </si>
  <si>
    <t>error</t>
  </si>
  <si>
    <t xml:space="preserve">Se considera el 1.02166171 ya que sus primeras cifras "1.021" no cambian y se considera cercano a la raiz </t>
  </si>
  <si>
    <t>"1.021689954" ya que es mas cercano a la raiz y se toma la repetición de las 1eras 4 cifras que es "1.021" que es la que se repite y se considera el mas cercano.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</si>
</sst>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left" vertical="center" wrapText="1" indent="1" readingOrder="1"/>
    </xf>
    <xf numFmtId="0" fontId="0" fillId="3" borderId="1" xfId="0" applyFill="1" applyBorder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vertical="center" indent="1"/>
    </xf>
    <xf numFmtId="0" fontId="0" fillId="2" borderId="1" xfId="0" applyFill="1" applyBorder="1"/>
    <xf numFmtId="0" fontId="0" fillId="0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FD12D-459E-4E17-BC22-BC1FACA7291D}">
  <dimension ref="A1:S31"/>
  <sheetViews>
    <sheetView tabSelected="1" zoomScale="85" zoomScaleNormal="85" workbookViewId="0">
      <selection activeCell="H9" sqref="H9"/>
    </sheetView>
  </sheetViews>
  <sheetFormatPr baseColWidth="10" defaultRowHeight="15"/>
  <cols>
    <col min="1" max="2" width="11.5703125" bestFit="1" customWidth="1"/>
    <col min="3" max="3" width="13.5703125" bestFit="1" customWidth="1"/>
    <col min="4" max="4" width="11.5703125" bestFit="1" customWidth="1"/>
    <col min="5" max="5" width="14.5703125" customWidth="1"/>
    <col min="6" max="6" width="11.5703125" bestFit="1" customWidth="1"/>
    <col min="7" max="7" width="14" bestFit="1" customWidth="1"/>
    <col min="8" max="9" width="12.5703125" bestFit="1" customWidth="1"/>
    <col min="10" max="10" width="11.5703125" bestFit="1" customWidth="1"/>
  </cols>
  <sheetData>
    <row r="1" spans="1:19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G1" t="s">
        <v>0</v>
      </c>
      <c r="I1" s="3" t="s">
        <v>8</v>
      </c>
      <c r="J1" s="3"/>
    </row>
    <row r="2" spans="1:19">
      <c r="A2" s="1">
        <v>1</v>
      </c>
      <c r="B2" s="1">
        <v>2</v>
      </c>
      <c r="C2" s="7">
        <f>2*COS(B2)-B2^2</f>
        <v>-4.8322936730942851</v>
      </c>
      <c r="D2" s="1">
        <f>-2*SIN(B2)-2*B2</f>
        <v>-5.8185948536513639</v>
      </c>
      <c r="E2" s="1">
        <f>B2-(C2/D2)</f>
        <v>1.169508481921222</v>
      </c>
      <c r="G2" t="s">
        <v>1</v>
      </c>
    </row>
    <row r="3" spans="1:19">
      <c r="A3" s="1">
        <v>2</v>
      </c>
      <c r="B3" s="1">
        <f>E2</f>
        <v>1.169508481921222</v>
      </c>
      <c r="C3" s="7">
        <f t="shared" ref="C3:C6" si="0">2*COS(B3)-B3^2</f>
        <v>-0.58654168383275218</v>
      </c>
      <c r="D3" s="1">
        <f t="shared" ref="D3:D6" si="1">-2*SIN(B3)-2*B3</f>
        <v>-4.1801344036733994</v>
      </c>
      <c r="E3" s="1">
        <f t="shared" ref="E3:E6" si="2">B3-(C3/D3)</f>
        <v>1.0291920166618003</v>
      </c>
      <c r="G3" t="s">
        <v>2</v>
      </c>
    </row>
    <row r="4" spans="1:19">
      <c r="A4" s="1">
        <v>3</v>
      </c>
      <c r="B4" s="1">
        <f t="shared" ref="B4:B6" si="3">E3</f>
        <v>1.0291920166618003</v>
      </c>
      <c r="C4" s="7">
        <f t="shared" si="0"/>
        <v>-2.8213486865779958E-2</v>
      </c>
      <c r="D4" s="1">
        <f t="shared" si="1"/>
        <v>-3.7721495220169388</v>
      </c>
      <c r="E4" s="1">
        <f t="shared" si="2"/>
        <v>1.0217125976459034</v>
      </c>
      <c r="G4" s="6" t="s">
        <v>15</v>
      </c>
      <c r="I4" t="s">
        <v>16</v>
      </c>
    </row>
    <row r="5" spans="1:19">
      <c r="A5" s="1">
        <v>4</v>
      </c>
      <c r="B5" s="1">
        <f t="shared" si="3"/>
        <v>1.0217125976459034</v>
      </c>
      <c r="C5" s="7">
        <f t="shared" si="0"/>
        <v>-8.4899670301119556E-5</v>
      </c>
      <c r="D5" s="1">
        <f t="shared" si="1"/>
        <v>-3.7494313696820667</v>
      </c>
      <c r="E5" s="9">
        <f t="shared" si="2"/>
        <v>1.0216899543003051</v>
      </c>
    </row>
    <row r="6" spans="1:19">
      <c r="A6" s="1">
        <v>5</v>
      </c>
      <c r="B6" s="10">
        <f t="shared" si="3"/>
        <v>1.0216899543003051</v>
      </c>
      <c r="C6" s="7">
        <f t="shared" si="0"/>
        <v>-7.8031670014411247E-10</v>
      </c>
      <c r="D6" s="1">
        <f t="shared" si="1"/>
        <v>-3.7493624471637208</v>
      </c>
      <c r="E6" s="1">
        <f t="shared" si="2"/>
        <v>1.0216899540921853</v>
      </c>
      <c r="G6" s="11" t="s">
        <v>28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</row>
    <row r="7" spans="1:19">
      <c r="A7" s="1">
        <v>6</v>
      </c>
      <c r="B7" s="10">
        <f t="shared" ref="B7:B8" si="4">E6</f>
        <v>1.0216899540921853</v>
      </c>
      <c r="C7" s="7">
        <f t="shared" ref="C7:C8" si="5">2*COS(B7)-B7^2</f>
        <v>0</v>
      </c>
      <c r="D7" s="1">
        <f t="shared" ref="D7:D8" si="6">-2*SIN(B7)-2*B7</f>
        <v>-3.7493624465302355</v>
      </c>
      <c r="E7" s="1">
        <f t="shared" ref="E7:E8" si="7">B7-(C7/D7)</f>
        <v>1.0216899540921853</v>
      </c>
    </row>
    <row r="8" spans="1:19">
      <c r="A8" s="1">
        <v>7</v>
      </c>
      <c r="B8" s="10">
        <f t="shared" si="4"/>
        <v>1.0216899540921853</v>
      </c>
      <c r="C8" s="7">
        <f t="shared" si="5"/>
        <v>0</v>
      </c>
      <c r="D8" s="1">
        <f t="shared" si="6"/>
        <v>-3.7493624465302355</v>
      </c>
      <c r="E8" s="1">
        <f t="shared" si="7"/>
        <v>1.0216899540921853</v>
      </c>
    </row>
    <row r="11" spans="1:19">
      <c r="A11" s="2" t="s">
        <v>9</v>
      </c>
      <c r="B11" s="2" t="s">
        <v>17</v>
      </c>
      <c r="C11" s="2" t="s">
        <v>18</v>
      </c>
      <c r="D11" s="2" t="s">
        <v>10</v>
      </c>
      <c r="E11" s="2" t="s">
        <v>11</v>
      </c>
      <c r="F11" s="2" t="s">
        <v>12</v>
      </c>
      <c r="G11" s="2" t="s">
        <v>13</v>
      </c>
      <c r="I11" t="s">
        <v>0</v>
      </c>
      <c r="K11" s="9" t="s">
        <v>14</v>
      </c>
      <c r="L11" s="9"/>
      <c r="M11" s="9"/>
    </row>
    <row r="12" spans="1:19">
      <c r="A12" s="1">
        <v>1</v>
      </c>
      <c r="B12" s="1">
        <v>-2</v>
      </c>
      <c r="C12" s="1">
        <v>2</v>
      </c>
      <c r="D12" s="1">
        <f>2*COS(B12)-B12^2</f>
        <v>-4.8322936730942851</v>
      </c>
      <c r="E12" s="1">
        <f>2*COS(C12)-(C12)^2</f>
        <v>-4.8322936730942851</v>
      </c>
      <c r="F12" s="1"/>
      <c r="G12" s="8"/>
      <c r="I12" t="s">
        <v>1</v>
      </c>
    </row>
    <row r="13" spans="1:19">
      <c r="A13" s="1">
        <v>2</v>
      </c>
      <c r="B13" s="1"/>
      <c r="C13" s="1"/>
      <c r="D13" s="1"/>
      <c r="E13" s="1"/>
      <c r="F13" s="1"/>
      <c r="G13" s="1"/>
      <c r="I13" t="s">
        <v>2</v>
      </c>
    </row>
    <row r="15" spans="1:19">
      <c r="B15" s="5" t="s">
        <v>19</v>
      </c>
      <c r="C15" s="5"/>
      <c r="D15" s="5"/>
      <c r="E15" s="5"/>
      <c r="F15" s="5"/>
      <c r="G15" s="5"/>
    </row>
    <row r="16" spans="1:19">
      <c r="B16" s="5" t="s">
        <v>20</v>
      </c>
      <c r="C16" s="5"/>
      <c r="D16" s="5"/>
      <c r="E16" s="5"/>
    </row>
    <row r="19" spans="1:12">
      <c r="A19" s="2" t="s">
        <v>9</v>
      </c>
      <c r="B19" s="2" t="s">
        <v>17</v>
      </c>
      <c r="C19" s="2" t="s">
        <v>18</v>
      </c>
      <c r="D19" s="2" t="s">
        <v>10</v>
      </c>
      <c r="E19" s="2" t="s">
        <v>11</v>
      </c>
      <c r="F19" s="9" t="s">
        <v>22</v>
      </c>
      <c r="G19" s="9" t="s">
        <v>23</v>
      </c>
      <c r="H19" s="2" t="s">
        <v>24</v>
      </c>
      <c r="I19" s="2" t="s">
        <v>25</v>
      </c>
      <c r="J19" s="2" t="s">
        <v>26</v>
      </c>
    </row>
    <row r="20" spans="1:12">
      <c r="A20" s="1">
        <v>1</v>
      </c>
      <c r="B20" s="1">
        <v>0</v>
      </c>
      <c r="C20" s="1">
        <v>2</v>
      </c>
      <c r="D20" s="1">
        <f>2*COS(B20)-B20^2</f>
        <v>2</v>
      </c>
      <c r="E20" s="1">
        <f>2*COS(C20)-(C20)^2</f>
        <v>-4.8322936730942851</v>
      </c>
      <c r="F20" s="1">
        <f>((B20*E20)-(C20*D20))/(E20-D20)</f>
        <v>0.58545492793321863</v>
      </c>
      <c r="G20" s="1">
        <f>2*COS(F20)-(F20)^2</f>
        <v>1.3241641047580885</v>
      </c>
      <c r="H20" s="1">
        <f>D20*G20</f>
        <v>2.6483282095161771</v>
      </c>
      <c r="I20" s="1"/>
      <c r="J20" s="8"/>
      <c r="L20" t="s">
        <v>0</v>
      </c>
    </row>
    <row r="21" spans="1:12">
      <c r="A21" s="1">
        <v>2</v>
      </c>
      <c r="B21" s="1">
        <f>IF(D20*G20&lt;0, B20, F20)</f>
        <v>0.58545492793321863</v>
      </c>
      <c r="C21" s="1">
        <f>IF(E20*G20&lt;0, C20, F20)</f>
        <v>2</v>
      </c>
      <c r="D21" s="1">
        <f t="shared" ref="D21:D26" si="8">2*COS(B21)-B21^2</f>
        <v>1.3241641047580885</v>
      </c>
      <c r="E21" s="1">
        <f t="shared" ref="E21:E26" si="9">2*COS(C21)-(C21)^2</f>
        <v>-4.8322936730942851</v>
      </c>
      <c r="F21" s="1">
        <f t="shared" ref="F21:F26" si="10">((B21*E21)-(C21*D21))/(E21-D21)</f>
        <v>0.88970290243109407</v>
      </c>
      <c r="G21" s="1">
        <f t="shared" ref="G21:G28" si="11">2*COS(F21)-(F21)^2</f>
        <v>0.46771447524411058</v>
      </c>
      <c r="H21" s="1">
        <f t="shared" ref="H21:H26" si="12">D21*G21</f>
        <v>0.61933071939401685</v>
      </c>
      <c r="I21" s="1">
        <f>ABS(F22-F21)</f>
        <v>9.7981363390414078E-2</v>
      </c>
      <c r="J21" s="1">
        <f>I21*100</f>
        <v>9.7981363390414078</v>
      </c>
      <c r="L21" t="s">
        <v>21</v>
      </c>
    </row>
    <row r="22" spans="1:12">
      <c r="A22" s="1">
        <v>3</v>
      </c>
      <c r="B22" s="1">
        <f t="shared" ref="B22:B26" si="13">IF(D21*G21&lt;0, B21, F21)</f>
        <v>0.88970290243109407</v>
      </c>
      <c r="C22" s="1">
        <f t="shared" ref="C22:C26" si="14">IF(E21*G21&lt;0, C21, F21)</f>
        <v>2</v>
      </c>
      <c r="D22" s="1">
        <f t="shared" si="8"/>
        <v>0.46771447524411058</v>
      </c>
      <c r="E22" s="1">
        <f t="shared" si="9"/>
        <v>-4.8322936730942851</v>
      </c>
      <c r="F22" s="1">
        <f t="shared" si="10"/>
        <v>0.98768426582150814</v>
      </c>
      <c r="G22" s="1">
        <f t="shared" si="11"/>
        <v>0.12572859420007265</v>
      </c>
      <c r="H22" s="1">
        <f t="shared" si="12"/>
        <v>5.8805083459466709E-2</v>
      </c>
      <c r="I22" s="1">
        <f t="shared" ref="I22:I26" si="15">ABS(F23-F22)</f>
        <v>2.5670928302291118E-2</v>
      </c>
      <c r="J22" s="1">
        <f t="shared" ref="J22:J28" si="16">I22*100</f>
        <v>2.5670928302291118</v>
      </c>
      <c r="L22" t="s">
        <v>2</v>
      </c>
    </row>
    <row r="23" spans="1:12">
      <c r="A23" s="1">
        <v>4</v>
      </c>
      <c r="B23" s="1">
        <f t="shared" si="13"/>
        <v>0.98768426582150814</v>
      </c>
      <c r="C23" s="1">
        <f t="shared" si="14"/>
        <v>2</v>
      </c>
      <c r="D23" s="1">
        <f t="shared" si="8"/>
        <v>0.12572859420007265</v>
      </c>
      <c r="E23" s="1">
        <f t="shared" si="9"/>
        <v>-4.8322936730942851</v>
      </c>
      <c r="F23" s="1">
        <f t="shared" si="10"/>
        <v>1.0133551941237993</v>
      </c>
      <c r="G23" s="1">
        <f t="shared" si="11"/>
        <v>3.1144146170198894E-2</v>
      </c>
      <c r="H23" s="1">
        <f t="shared" si="12"/>
        <v>3.9157097155406839E-3</v>
      </c>
      <c r="I23" s="1">
        <f t="shared" si="15"/>
        <v>6.318207653557284E-3</v>
      </c>
      <c r="J23" s="1">
        <f t="shared" si="16"/>
        <v>0.6318207653557284</v>
      </c>
    </row>
    <row r="24" spans="1:12">
      <c r="A24" s="1">
        <v>5</v>
      </c>
      <c r="B24" s="1">
        <f t="shared" si="13"/>
        <v>1.0133551941237993</v>
      </c>
      <c r="C24" s="1">
        <f t="shared" si="14"/>
        <v>2</v>
      </c>
      <c r="D24" s="1">
        <f t="shared" si="8"/>
        <v>3.1144146170198894E-2</v>
      </c>
      <c r="E24" s="1">
        <f t="shared" si="9"/>
        <v>-4.8322936730942851</v>
      </c>
      <c r="F24" s="1">
        <f t="shared" si="10"/>
        <v>1.0196734017773565</v>
      </c>
      <c r="G24" s="1">
        <f t="shared" si="11"/>
        <v>7.5545943065746801E-3</v>
      </c>
      <c r="H24" s="1">
        <f t="shared" si="12"/>
        <v>2.352813893405142E-4</v>
      </c>
      <c r="I24" s="1">
        <f t="shared" si="15"/>
        <v>1.5302070082239272E-3</v>
      </c>
      <c r="J24" s="1">
        <f t="shared" si="16"/>
        <v>0.15302070082239272</v>
      </c>
    </row>
    <row r="25" spans="1:12">
      <c r="A25" s="1">
        <v>6</v>
      </c>
      <c r="B25" s="1">
        <f t="shared" si="13"/>
        <v>1.0196734017773565</v>
      </c>
      <c r="C25" s="1">
        <f t="shared" si="14"/>
        <v>2</v>
      </c>
      <c r="D25" s="1">
        <f t="shared" si="8"/>
        <v>7.5545943065746801E-3</v>
      </c>
      <c r="E25" s="1">
        <f t="shared" si="9"/>
        <v>-4.8322936730942851</v>
      </c>
      <c r="F25" s="1">
        <f t="shared" si="10"/>
        <v>1.0212036087855805</v>
      </c>
      <c r="G25" s="1">
        <f t="shared" si="11"/>
        <v>1.8231248122866361E-3</v>
      </c>
      <c r="H25" s="1">
        <f t="shared" si="12"/>
        <v>1.3772968327075655E-5</v>
      </c>
      <c r="I25" s="1">
        <f t="shared" si="15"/>
        <v>3.691404369403628E-4</v>
      </c>
      <c r="J25" s="1">
        <f t="shared" si="16"/>
        <v>3.691404369403628E-2</v>
      </c>
    </row>
    <row r="26" spans="1:12">
      <c r="A26" s="1">
        <v>7</v>
      </c>
      <c r="B26" s="1">
        <f t="shared" si="13"/>
        <v>1.0212036087855805</v>
      </c>
      <c r="C26" s="1">
        <f t="shared" si="14"/>
        <v>2</v>
      </c>
      <c r="D26" s="1">
        <f t="shared" si="8"/>
        <v>1.8231248122866361E-3</v>
      </c>
      <c r="E26" s="1">
        <f t="shared" si="9"/>
        <v>-4.8322936730942851</v>
      </c>
      <c r="F26" s="1">
        <f t="shared" si="10"/>
        <v>1.0215727492225208</v>
      </c>
      <c r="G26" s="1">
        <f t="shared" si="11"/>
        <v>4.394226297543824E-4</v>
      </c>
      <c r="H26" s="1">
        <f t="shared" si="12"/>
        <v>8.0112229938545837E-7</v>
      </c>
      <c r="I26" s="1">
        <f t="shared" si="15"/>
        <v>8.8964788049317178E-5</v>
      </c>
      <c r="J26" s="1">
        <f t="shared" si="16"/>
        <v>8.8964788049317178E-3</v>
      </c>
    </row>
    <row r="27" spans="1:12">
      <c r="A27" s="1">
        <v>8</v>
      </c>
      <c r="B27" s="1">
        <f t="shared" ref="B27:B28" si="17">IF(D26*G26&lt;0, B26, F26)</f>
        <v>1.0215727492225208</v>
      </c>
      <c r="C27" s="1">
        <f t="shared" ref="C27:C28" si="18">IF(E26*G26&lt;0, C26, F26)</f>
        <v>2</v>
      </c>
      <c r="D27" s="1">
        <f t="shared" ref="D27:D28" si="19">2*COS(B27)-B27^2</f>
        <v>4.394226297543824E-4</v>
      </c>
      <c r="E27" s="1">
        <f t="shared" ref="E27:E28" si="20">2*COS(C27)-(C27)^2</f>
        <v>-4.8322936730942851</v>
      </c>
      <c r="F27" s="3">
        <f t="shared" ref="F27:F28" si="21">((B27*E27)-(C27*D27))/(E27-D27)</f>
        <v>1.0216617140105702</v>
      </c>
      <c r="G27" s="1">
        <f t="shared" si="11"/>
        <v>1.0588108774944871E-4</v>
      </c>
      <c r="H27" s="1">
        <f t="shared" ref="H27:H28" si="22">D27*G27</f>
        <v>4.6526546020117275E-8</v>
      </c>
      <c r="I27" s="1">
        <f t="shared" ref="I27:I28" si="23">ABS(F28-F27)</f>
        <v>2.1436042435318825E-5</v>
      </c>
      <c r="J27" s="1">
        <f t="shared" si="16"/>
        <v>2.1436042435318825E-3</v>
      </c>
    </row>
    <row r="28" spans="1:12">
      <c r="A28" s="1">
        <v>9</v>
      </c>
      <c r="B28" s="1">
        <f t="shared" si="17"/>
        <v>1.0216617140105702</v>
      </c>
      <c r="C28" s="1">
        <f t="shared" si="18"/>
        <v>2</v>
      </c>
      <c r="D28" s="1">
        <f t="shared" si="19"/>
        <v>1.0588108774944871E-4</v>
      </c>
      <c r="E28" s="1">
        <f t="shared" si="20"/>
        <v>-4.8322936730942851</v>
      </c>
      <c r="F28" s="1">
        <f t="shared" si="21"/>
        <v>1.0216831500530055</v>
      </c>
      <c r="G28" s="1">
        <f t="shared" si="11"/>
        <v>2.5510738527856347E-5</v>
      </c>
      <c r="H28" s="1">
        <f t="shared" si="22"/>
        <v>2.7011047446211997E-9</v>
      </c>
      <c r="I28" s="1">
        <f t="shared" si="23"/>
        <v>1.0216831500530055</v>
      </c>
      <c r="J28" s="1">
        <f t="shared" si="16"/>
        <v>102.16831500530054</v>
      </c>
    </row>
    <row r="31" spans="1:12">
      <c r="C31" s="4" t="s">
        <v>27</v>
      </c>
      <c r="D31" s="4"/>
      <c r="E31" s="4"/>
      <c r="F31" s="4"/>
      <c r="G31" s="4"/>
      <c r="H31" s="4"/>
      <c r="I31" s="4"/>
      <c r="J31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</dc:creator>
  <cp:lastModifiedBy>naomi</cp:lastModifiedBy>
  <dcterms:created xsi:type="dcterms:W3CDTF">2026-02-24T16:26:44Z</dcterms:created>
  <dcterms:modified xsi:type="dcterms:W3CDTF">2026-03-17T17:31:17Z</dcterms:modified>
</cp:coreProperties>
</file>